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贺正泽\Desktop\25华中杯\B题：校园共享单车的调度与维护问题\附件\"/>
    </mc:Choice>
  </mc:AlternateContent>
  <xr:revisionPtr revIDLastSave="0" documentId="13_ncr:1_{95A52084-E31C-4F89-9C52-902C80DB13C9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1" l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4" i="1"/>
  <c r="R5" i="1"/>
  <c r="R6" i="1"/>
  <c r="R7" i="1"/>
  <c r="R8" i="1"/>
  <c r="R9" i="1"/>
  <c r="R3" i="1"/>
  <c r="R2" i="1"/>
</calcChain>
</file>

<file path=xl/sharedStrings.xml><?xml version="1.0" encoding="utf-8"?>
<sst xmlns="http://schemas.openxmlformats.org/spreadsheetml/2006/main" count="24" uniqueCount="22">
  <si>
    <t>东门</t>
  </si>
  <si>
    <t>南门</t>
  </si>
  <si>
    <t>北门</t>
  </si>
  <si>
    <t>一食堂</t>
  </si>
  <si>
    <t>二食堂</t>
  </si>
  <si>
    <t>三食堂</t>
  </si>
  <si>
    <t>梅苑1栋</t>
  </si>
  <si>
    <t>菊苑1栋</t>
  </si>
  <si>
    <t>教学2楼</t>
  </si>
  <si>
    <t>教学4楼</t>
  </si>
  <si>
    <t>计算机学院</t>
  </si>
  <si>
    <t>工程中心</t>
  </si>
  <si>
    <t>网球场</t>
  </si>
  <si>
    <t>体育馆</t>
  </si>
  <si>
    <t>校医院</t>
  </si>
  <si>
    <t>周三</t>
  </si>
  <si>
    <t>周四</t>
  </si>
  <si>
    <t>周五</t>
  </si>
  <si>
    <t>周六</t>
  </si>
  <si>
    <t>周日</t>
  </si>
  <si>
    <t>SUM</t>
    <phoneticPr fontId="5" type="noConversion"/>
  </si>
  <si>
    <t>200+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</si>
</sst>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h:mm;@"/>
  </numFmts>
  <fonts count="9" x14ac:knownFonts="1">
    <font>
      <sz val="11"/>
      <color theme="1"/>
      <name val="宋体"/>
      <charset val="134"/>
      <scheme val="minor"/>
    </font>
    <font>
      <sz val="12"/>
      <color theme="1"/>
      <name val="Calibri"/>
      <family val="2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1" fillId="0" borderId="2" xfId="0" applyNumberFormat="1" applyFont="1" applyBorder="1" applyAlignment="1">
      <alignment horizontal="justify" vertical="top" wrapText="1"/>
    </xf>
    <xf numFmtId="0" fontId="2" fillId="0" borderId="2" xfId="0" applyFont="1" applyBorder="1" applyAlignment="1">
      <alignment horizontal="right" vertical="center"/>
    </xf>
    <xf numFmtId="176" fontId="1" fillId="0" borderId="0" xfId="0" applyNumberFormat="1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176" fontId="1" fillId="0" borderId="5" xfId="0" applyNumberFormat="1" applyFont="1" applyBorder="1" applyAlignment="1">
      <alignment horizontal="justify" vertical="top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6" fillId="4" borderId="2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zoomScale="115" zoomScaleNormal="115" workbookViewId="0">
      <pane ySplit="1" topLeftCell="A2" activePane="bottomLeft" state="frozen"/>
      <selection pane="bottomLeft" activeCell="K11" sqref="K11"/>
    </sheetView>
  </sheetViews>
  <sheetFormatPr defaultColWidth="8.875" defaultRowHeight="13.5" x14ac:dyDescent="0.15"/>
  <sheetData>
    <row r="1" spans="1:20" ht="14.25" thickBot="1" x14ac:dyDescent="0.2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2" t="s">
        <v>20</v>
      </c>
      <c r="T1">
        <v>145</v>
      </c>
    </row>
    <row r="2" spans="1:20" ht="15.75" x14ac:dyDescent="0.15">
      <c r="A2" s="27" t="s">
        <v>15</v>
      </c>
      <c r="B2" s="3">
        <v>0.3125</v>
      </c>
      <c r="C2" s="4"/>
      <c r="D2" s="4"/>
      <c r="E2" s="26">
        <v>24</v>
      </c>
      <c r="F2" s="4"/>
      <c r="G2" s="4">
        <v>127</v>
      </c>
      <c r="H2" s="4"/>
      <c r="I2" s="4">
        <v>97</v>
      </c>
      <c r="J2" s="14">
        <v>103</v>
      </c>
      <c r="K2" s="4"/>
      <c r="L2" s="4"/>
      <c r="M2" s="4">
        <v>3</v>
      </c>
      <c r="N2" s="4"/>
      <c r="O2" s="4">
        <v>12</v>
      </c>
      <c r="P2" s="4"/>
      <c r="Q2" s="9">
        <v>11</v>
      </c>
      <c r="R2">
        <f>SUM(C2:Q2)</f>
        <v>377</v>
      </c>
      <c r="T2">
        <v>149</v>
      </c>
    </row>
    <row r="3" spans="1:20" ht="15.75" x14ac:dyDescent="0.15">
      <c r="A3" s="28"/>
      <c r="B3" s="5">
        <v>0.36805555555555602</v>
      </c>
      <c r="C3" s="6">
        <v>68</v>
      </c>
      <c r="D3" s="6"/>
      <c r="E3" s="18">
        <v>66</v>
      </c>
      <c r="F3" s="6">
        <v>3</v>
      </c>
      <c r="G3" s="6">
        <v>8</v>
      </c>
      <c r="H3" s="6"/>
      <c r="I3" s="6">
        <v>6</v>
      </c>
      <c r="J3" s="15"/>
      <c r="K3" s="6"/>
      <c r="L3" s="6">
        <v>157</v>
      </c>
      <c r="M3" s="6"/>
      <c r="N3" s="6">
        <v>49</v>
      </c>
      <c r="O3" s="6">
        <v>22</v>
      </c>
      <c r="P3" s="6">
        <v>3</v>
      </c>
      <c r="Q3" s="10"/>
      <c r="R3">
        <f>SUM(C3:Q3)</f>
        <v>382</v>
      </c>
      <c r="T3">
        <v>190</v>
      </c>
    </row>
    <row r="4" spans="1:20" ht="15.75" x14ac:dyDescent="0.15">
      <c r="A4" s="28"/>
      <c r="B4" s="5">
        <v>0.46527777777777801</v>
      </c>
      <c r="C4" s="6"/>
      <c r="D4" s="6"/>
      <c r="E4" s="6"/>
      <c r="F4" s="6">
        <v>5</v>
      </c>
      <c r="G4" s="6">
        <v>19</v>
      </c>
      <c r="H4" s="6">
        <v>11</v>
      </c>
      <c r="I4" s="6">
        <v>15</v>
      </c>
      <c r="J4" s="6">
        <v>59</v>
      </c>
      <c r="K4" s="6">
        <v>200</v>
      </c>
      <c r="L4" s="6"/>
      <c r="M4" s="6">
        <v>57</v>
      </c>
      <c r="N4" s="6"/>
      <c r="O4" s="6"/>
      <c r="P4" s="6"/>
      <c r="Q4" s="10">
        <v>25</v>
      </c>
      <c r="R4">
        <f t="shared" ref="R4:R35" si="0">SUM(C4:Q4)</f>
        <v>391</v>
      </c>
      <c r="T4">
        <v>209</v>
      </c>
    </row>
    <row r="5" spans="1:20" ht="15.75" x14ac:dyDescent="0.15">
      <c r="A5" s="28"/>
      <c r="B5" s="5">
        <v>0.51388888888888895</v>
      </c>
      <c r="C5" s="6"/>
      <c r="D5" s="6">
        <v>66</v>
      </c>
      <c r="E5" s="20">
        <v>77</v>
      </c>
      <c r="F5" s="6"/>
      <c r="G5" s="16">
        <v>122</v>
      </c>
      <c r="H5" s="6"/>
      <c r="I5" s="6">
        <v>93</v>
      </c>
      <c r="J5" s="6"/>
      <c r="K5" s="6">
        <v>18</v>
      </c>
      <c r="L5" s="6"/>
      <c r="M5" s="6">
        <v>6</v>
      </c>
      <c r="N5" s="6">
        <v>2</v>
      </c>
      <c r="O5" s="6"/>
      <c r="P5" s="6">
        <v>3</v>
      </c>
      <c r="Q5" s="10"/>
      <c r="R5">
        <f t="shared" si="0"/>
        <v>387</v>
      </c>
      <c r="T5">
        <v>223</v>
      </c>
    </row>
    <row r="6" spans="1:20" ht="15.75" x14ac:dyDescent="0.15">
      <c r="A6" s="28"/>
      <c r="B6" s="5">
        <v>0.57638888888888895</v>
      </c>
      <c r="C6" s="18">
        <v>43</v>
      </c>
      <c r="D6" s="6"/>
      <c r="E6" s="20">
        <v>66</v>
      </c>
      <c r="F6" s="6">
        <v>10</v>
      </c>
      <c r="G6" s="16"/>
      <c r="H6" s="6"/>
      <c r="I6" s="6">
        <v>19</v>
      </c>
      <c r="J6" s="6">
        <v>62</v>
      </c>
      <c r="K6" s="6"/>
      <c r="L6" s="15">
        <v>136</v>
      </c>
      <c r="M6" s="6"/>
      <c r="N6" s="6">
        <v>70</v>
      </c>
      <c r="O6" s="6">
        <v>19</v>
      </c>
      <c r="P6" s="6"/>
      <c r="Q6" s="10">
        <v>35</v>
      </c>
      <c r="R6">
        <f t="shared" si="0"/>
        <v>460</v>
      </c>
      <c r="T6">
        <v>259</v>
      </c>
    </row>
    <row r="7" spans="1:20" ht="15.75" x14ac:dyDescent="0.15">
      <c r="A7" s="28"/>
      <c r="B7" s="5">
        <v>0.75</v>
      </c>
      <c r="C7" s="18">
        <v>36</v>
      </c>
      <c r="D7" s="6">
        <v>99</v>
      </c>
      <c r="E7" s="6"/>
      <c r="F7" s="6"/>
      <c r="G7" s="6">
        <v>80</v>
      </c>
      <c r="H7" s="6">
        <v>65</v>
      </c>
      <c r="I7" s="6"/>
      <c r="J7" s="6"/>
      <c r="K7" s="6">
        <v>33</v>
      </c>
      <c r="L7" s="15"/>
      <c r="M7" s="6">
        <v>59</v>
      </c>
      <c r="N7" s="6"/>
      <c r="O7" s="6"/>
      <c r="P7" s="6">
        <v>45</v>
      </c>
      <c r="Q7" s="10"/>
      <c r="R7">
        <f t="shared" si="0"/>
        <v>417</v>
      </c>
      <c r="T7">
        <v>312</v>
      </c>
    </row>
    <row r="8" spans="1:20" ht="15.75" x14ac:dyDescent="0.15">
      <c r="A8" s="28"/>
      <c r="B8" s="5">
        <v>0.88888888888888895</v>
      </c>
      <c r="C8" s="6">
        <v>103</v>
      </c>
      <c r="D8" s="6"/>
      <c r="E8" s="6">
        <v>29</v>
      </c>
      <c r="F8" s="6">
        <v>27</v>
      </c>
      <c r="G8" s="6"/>
      <c r="H8" s="6"/>
      <c r="I8" s="6">
        <v>8</v>
      </c>
      <c r="J8" s="6"/>
      <c r="K8" s="15">
        <v>104</v>
      </c>
      <c r="L8" s="17">
        <v>81</v>
      </c>
      <c r="M8" s="6"/>
      <c r="N8" s="6">
        <v>72</v>
      </c>
      <c r="O8" s="6"/>
      <c r="P8" s="6">
        <v>4</v>
      </c>
      <c r="Q8" s="10"/>
      <c r="R8">
        <f t="shared" si="0"/>
        <v>428</v>
      </c>
      <c r="T8">
        <v>317</v>
      </c>
    </row>
    <row r="9" spans="1:20" ht="16.5" thickBot="1" x14ac:dyDescent="0.2">
      <c r="A9" s="29"/>
      <c r="B9" s="7">
        <v>0.95833333333333304</v>
      </c>
      <c r="C9" s="8"/>
      <c r="D9" s="8">
        <v>41</v>
      </c>
      <c r="E9" s="8"/>
      <c r="F9" s="8">
        <v>85</v>
      </c>
      <c r="G9" s="8">
        <v>122</v>
      </c>
      <c r="H9" s="8"/>
      <c r="I9" s="8">
        <v>113</v>
      </c>
      <c r="J9" s="8"/>
      <c r="K9" s="22"/>
      <c r="L9" s="21">
        <v>22</v>
      </c>
      <c r="M9" s="8">
        <v>17</v>
      </c>
      <c r="N9" s="8"/>
      <c r="O9" s="8">
        <v>16</v>
      </c>
      <c r="P9" s="8"/>
      <c r="Q9" s="11">
        <v>13</v>
      </c>
      <c r="R9">
        <f t="shared" si="0"/>
        <v>429</v>
      </c>
      <c r="T9">
        <v>320</v>
      </c>
    </row>
    <row r="10" spans="1:20" ht="15.75" x14ac:dyDescent="0.15">
      <c r="A10" s="27" t="s">
        <v>16</v>
      </c>
      <c r="B10" s="3">
        <v>0.3125</v>
      </c>
      <c r="C10" s="4">
        <v>31</v>
      </c>
      <c r="D10" s="4">
        <v>47</v>
      </c>
      <c r="E10" s="4">
        <v>15</v>
      </c>
      <c r="F10" s="4"/>
      <c r="G10" s="4">
        <v>91</v>
      </c>
      <c r="H10" s="4"/>
      <c r="I10" s="4"/>
      <c r="J10" s="4">
        <v>106</v>
      </c>
      <c r="K10" s="4"/>
      <c r="L10" s="4">
        <v>26</v>
      </c>
      <c r="M10" s="4">
        <v>4</v>
      </c>
      <c r="N10" s="4"/>
      <c r="O10" s="4"/>
      <c r="P10" s="4"/>
      <c r="Q10" s="9"/>
      <c r="R10">
        <f t="shared" si="0"/>
        <v>320</v>
      </c>
      <c r="T10">
        <v>328</v>
      </c>
    </row>
    <row r="11" spans="1:20" ht="15.75" x14ac:dyDescent="0.15">
      <c r="A11" s="28"/>
      <c r="B11" s="5">
        <v>0.36805555555555602</v>
      </c>
      <c r="C11" s="6"/>
      <c r="D11" s="6"/>
      <c r="E11" s="18">
        <v>57</v>
      </c>
      <c r="F11" s="6">
        <v>7</v>
      </c>
      <c r="G11" s="6"/>
      <c r="H11" s="6">
        <v>7</v>
      </c>
      <c r="I11" s="6">
        <v>11</v>
      </c>
      <c r="J11" s="6"/>
      <c r="K11" s="18" t="s">
        <v>21</v>
      </c>
      <c r="L11" s="6"/>
      <c r="M11" s="6"/>
      <c r="N11" s="18">
        <v>46</v>
      </c>
      <c r="O11" s="6">
        <v>17</v>
      </c>
      <c r="P11" s="6"/>
      <c r="Q11" s="10"/>
      <c r="R11">
        <f t="shared" si="0"/>
        <v>145</v>
      </c>
      <c r="T11">
        <v>340</v>
      </c>
    </row>
    <row r="12" spans="1:20" ht="15.75" x14ac:dyDescent="0.15">
      <c r="A12" s="28"/>
      <c r="B12" s="5">
        <v>0.46527777777777801</v>
      </c>
      <c r="C12" s="20">
        <v>47</v>
      </c>
      <c r="D12" s="6">
        <v>38</v>
      </c>
      <c r="E12" s="18">
        <v>68</v>
      </c>
      <c r="F12" s="6"/>
      <c r="G12" s="6">
        <v>19</v>
      </c>
      <c r="H12" s="6"/>
      <c r="I12" s="6"/>
      <c r="J12" s="6"/>
      <c r="K12" s="18"/>
      <c r="L12" s="16">
        <v>120</v>
      </c>
      <c r="M12" s="6"/>
      <c r="N12" s="18">
        <v>61</v>
      </c>
      <c r="O12" s="6">
        <v>15</v>
      </c>
      <c r="P12" s="6">
        <v>0</v>
      </c>
      <c r="Q12" s="10"/>
      <c r="R12">
        <f t="shared" si="0"/>
        <v>368</v>
      </c>
      <c r="T12">
        <v>345</v>
      </c>
    </row>
    <row r="13" spans="1:20" ht="15.75" x14ac:dyDescent="0.15">
      <c r="A13" s="28"/>
      <c r="B13" s="5">
        <v>0.51388888888888895</v>
      </c>
      <c r="C13" s="20">
        <v>28</v>
      </c>
      <c r="D13" s="6"/>
      <c r="E13" s="6"/>
      <c r="F13" s="6">
        <v>110</v>
      </c>
      <c r="G13" s="16" t="s">
        <v>21</v>
      </c>
      <c r="H13" s="6"/>
      <c r="I13" s="6"/>
      <c r="J13" s="20">
        <v>91</v>
      </c>
      <c r="K13" s="6">
        <v>13</v>
      </c>
      <c r="L13" s="16"/>
      <c r="M13" s="6">
        <v>6</v>
      </c>
      <c r="N13" s="6">
        <v>1</v>
      </c>
      <c r="O13" s="6"/>
      <c r="P13" s="6"/>
      <c r="Q13" s="10">
        <v>3</v>
      </c>
      <c r="R13">
        <f t="shared" si="0"/>
        <v>252</v>
      </c>
      <c r="T13">
        <v>368</v>
      </c>
    </row>
    <row r="14" spans="1:20" ht="15.75" x14ac:dyDescent="0.15">
      <c r="A14" s="28"/>
      <c r="B14" s="5">
        <v>0.57638888888888895</v>
      </c>
      <c r="C14" s="6"/>
      <c r="D14" s="25">
        <v>29</v>
      </c>
      <c r="E14" s="6"/>
      <c r="F14" s="6">
        <v>5</v>
      </c>
      <c r="G14" s="16"/>
      <c r="H14" s="6"/>
      <c r="I14" s="6">
        <v>19</v>
      </c>
      <c r="J14" s="20">
        <v>86</v>
      </c>
      <c r="K14" s="6"/>
      <c r="L14" s="15">
        <v>138</v>
      </c>
      <c r="M14" s="6">
        <v>83</v>
      </c>
      <c r="N14" s="6"/>
      <c r="O14" s="6">
        <v>9</v>
      </c>
      <c r="P14" s="6">
        <v>2</v>
      </c>
      <c r="Q14" s="10"/>
      <c r="R14">
        <f t="shared" si="0"/>
        <v>371</v>
      </c>
      <c r="T14">
        <v>371</v>
      </c>
    </row>
    <row r="15" spans="1:20" ht="15.75" x14ac:dyDescent="0.15">
      <c r="A15" s="28"/>
      <c r="B15" s="5">
        <v>0.75</v>
      </c>
      <c r="C15" s="17"/>
      <c r="D15" s="15">
        <v>125</v>
      </c>
      <c r="E15" s="6">
        <v>72</v>
      </c>
      <c r="F15" s="6"/>
      <c r="G15" s="6"/>
      <c r="H15" s="6">
        <v>58</v>
      </c>
      <c r="I15" s="6"/>
      <c r="J15" s="6"/>
      <c r="K15" s="6"/>
      <c r="L15" s="17"/>
      <c r="M15" s="6"/>
      <c r="N15" s="6"/>
      <c r="O15" s="6">
        <v>48</v>
      </c>
      <c r="P15" s="6">
        <v>31</v>
      </c>
      <c r="Q15" s="10">
        <v>6</v>
      </c>
      <c r="R15">
        <f t="shared" si="0"/>
        <v>340</v>
      </c>
      <c r="T15">
        <v>371</v>
      </c>
    </row>
    <row r="16" spans="1:20" ht="15.75" x14ac:dyDescent="0.15">
      <c r="A16" s="28"/>
      <c r="B16" s="5">
        <v>0.88888888888888895</v>
      </c>
      <c r="C16" s="17">
        <v>93</v>
      </c>
      <c r="D16" s="17"/>
      <c r="E16" s="6">
        <v>19</v>
      </c>
      <c r="F16" s="6"/>
      <c r="G16" s="18">
        <v>72</v>
      </c>
      <c r="H16" s="6"/>
      <c r="I16" s="6">
        <v>7</v>
      </c>
      <c r="J16" s="18">
        <v>65</v>
      </c>
      <c r="K16" s="6">
        <v>109</v>
      </c>
      <c r="L16" s="6"/>
      <c r="M16" s="17">
        <v>47</v>
      </c>
      <c r="N16" s="18">
        <v>83</v>
      </c>
      <c r="O16" s="6"/>
      <c r="P16" s="6"/>
      <c r="Q16" s="10">
        <v>8</v>
      </c>
      <c r="R16">
        <f t="shared" si="0"/>
        <v>503</v>
      </c>
      <c r="T16">
        <v>376</v>
      </c>
    </row>
    <row r="17" spans="1:20" ht="15.75" x14ac:dyDescent="0.15">
      <c r="A17" s="29"/>
      <c r="B17" s="7">
        <v>0.95833333333333304</v>
      </c>
      <c r="C17" s="8">
        <v>19</v>
      </c>
      <c r="D17" s="8">
        <v>52</v>
      </c>
      <c r="E17" s="8"/>
      <c r="F17" s="8">
        <v>80</v>
      </c>
      <c r="G17" s="24">
        <v>96</v>
      </c>
      <c r="H17" s="8"/>
      <c r="I17" s="8">
        <v>143</v>
      </c>
      <c r="J17" s="24"/>
      <c r="K17" s="8">
        <v>30</v>
      </c>
      <c r="L17" s="8">
        <v>13</v>
      </c>
      <c r="M17" s="21"/>
      <c r="N17" s="24">
        <v>57</v>
      </c>
      <c r="O17" s="8">
        <v>15</v>
      </c>
      <c r="P17" s="8"/>
      <c r="Q17" s="11">
        <v>11</v>
      </c>
      <c r="R17">
        <f t="shared" si="0"/>
        <v>516</v>
      </c>
      <c r="T17">
        <v>377</v>
      </c>
    </row>
    <row r="18" spans="1:20" ht="15.75" x14ac:dyDescent="0.15">
      <c r="A18" s="27" t="s">
        <v>17</v>
      </c>
      <c r="B18" s="3">
        <v>0.3125</v>
      </c>
      <c r="C18" s="4"/>
      <c r="D18" s="4">
        <v>44</v>
      </c>
      <c r="E18" s="4">
        <v>16</v>
      </c>
      <c r="F18" s="4"/>
      <c r="G18" s="4">
        <v>97</v>
      </c>
      <c r="H18" s="4"/>
      <c r="I18" s="4"/>
      <c r="J18" s="4">
        <v>97</v>
      </c>
      <c r="K18" s="4">
        <v>19</v>
      </c>
      <c r="L18" s="4">
        <v>34</v>
      </c>
      <c r="M18" s="4">
        <v>0</v>
      </c>
      <c r="N18" s="4"/>
      <c r="O18" s="4">
        <v>5</v>
      </c>
      <c r="P18" s="4"/>
      <c r="Q18" s="9"/>
      <c r="R18">
        <f t="shared" si="0"/>
        <v>312</v>
      </c>
      <c r="T18">
        <v>382</v>
      </c>
    </row>
    <row r="19" spans="1:20" ht="15.75" x14ac:dyDescent="0.15">
      <c r="A19" s="28"/>
      <c r="B19" s="5">
        <v>0.36805555555555602</v>
      </c>
      <c r="C19" s="6"/>
      <c r="D19" s="6"/>
      <c r="E19" s="6">
        <v>65</v>
      </c>
      <c r="F19" s="6"/>
      <c r="G19" s="6">
        <v>11</v>
      </c>
      <c r="H19" s="6"/>
      <c r="I19" s="6">
        <v>11</v>
      </c>
      <c r="J19" s="6"/>
      <c r="K19" s="36" t="s">
        <v>21</v>
      </c>
      <c r="L19" s="6">
        <v>119</v>
      </c>
      <c r="M19" s="6">
        <v>48</v>
      </c>
      <c r="N19" s="6">
        <v>63</v>
      </c>
      <c r="O19" s="6"/>
      <c r="P19" s="6">
        <v>1</v>
      </c>
      <c r="Q19" s="10">
        <v>27</v>
      </c>
      <c r="R19" s="13">
        <f t="shared" si="0"/>
        <v>345</v>
      </c>
      <c r="T19">
        <v>387</v>
      </c>
    </row>
    <row r="20" spans="1:20" ht="15.75" x14ac:dyDescent="0.15">
      <c r="A20" s="28"/>
      <c r="B20" s="5">
        <v>0.46527777777777801</v>
      </c>
      <c r="C20" s="6">
        <v>62</v>
      </c>
      <c r="D20" s="6">
        <v>23</v>
      </c>
      <c r="E20" s="6"/>
      <c r="F20" s="6">
        <v>7</v>
      </c>
      <c r="G20" s="6"/>
      <c r="H20" s="6">
        <v>16</v>
      </c>
      <c r="I20" s="6">
        <v>23</v>
      </c>
      <c r="J20" s="6"/>
      <c r="K20" s="6"/>
      <c r="L20" s="6"/>
      <c r="M20" s="6"/>
      <c r="N20" s="6"/>
      <c r="O20" s="6">
        <v>18</v>
      </c>
      <c r="P20" s="6"/>
      <c r="Q20" s="10"/>
      <c r="R20">
        <f t="shared" si="0"/>
        <v>149</v>
      </c>
      <c r="T20">
        <v>391</v>
      </c>
    </row>
    <row r="21" spans="1:20" ht="15.75" x14ac:dyDescent="0.15">
      <c r="A21" s="28"/>
      <c r="B21" s="5">
        <v>0.51388888888888895</v>
      </c>
      <c r="C21" s="6"/>
      <c r="D21" s="6"/>
      <c r="E21" s="6">
        <v>63</v>
      </c>
      <c r="F21" s="6"/>
      <c r="G21" s="17">
        <v>137</v>
      </c>
      <c r="H21" s="6"/>
      <c r="I21" s="6"/>
      <c r="J21" s="17">
        <v>72</v>
      </c>
      <c r="K21" s="6">
        <v>30</v>
      </c>
      <c r="L21" s="6"/>
      <c r="M21" s="6">
        <v>10</v>
      </c>
      <c r="N21" s="6">
        <v>4</v>
      </c>
      <c r="O21" s="6">
        <v>1</v>
      </c>
      <c r="P21" s="6"/>
      <c r="Q21" s="10"/>
      <c r="R21">
        <f t="shared" si="0"/>
        <v>317</v>
      </c>
      <c r="T21">
        <v>406</v>
      </c>
    </row>
    <row r="22" spans="1:20" ht="15.75" x14ac:dyDescent="0.15">
      <c r="A22" s="28"/>
      <c r="B22" s="5">
        <v>0.57638888888888895</v>
      </c>
      <c r="C22" s="6">
        <v>64</v>
      </c>
      <c r="D22" s="6"/>
      <c r="E22" s="6"/>
      <c r="F22" s="6">
        <v>4</v>
      </c>
      <c r="G22" s="17"/>
      <c r="H22" s="6">
        <v>12</v>
      </c>
      <c r="I22" s="19">
        <v>22</v>
      </c>
      <c r="J22" s="17">
        <v>52</v>
      </c>
      <c r="K22" s="6"/>
      <c r="L22" s="19">
        <v>139</v>
      </c>
      <c r="M22" s="19">
        <v>76</v>
      </c>
      <c r="N22" s="6"/>
      <c r="O22" s="6"/>
      <c r="P22" s="6">
        <v>7</v>
      </c>
      <c r="Q22" s="10"/>
      <c r="R22">
        <f t="shared" si="0"/>
        <v>376</v>
      </c>
      <c r="T22">
        <v>414</v>
      </c>
    </row>
    <row r="23" spans="1:20" ht="15.75" x14ac:dyDescent="0.15">
      <c r="A23" s="28"/>
      <c r="B23" s="5">
        <v>0.75</v>
      </c>
      <c r="C23" s="6"/>
      <c r="D23" s="15">
        <v>105</v>
      </c>
      <c r="E23" s="6">
        <v>72</v>
      </c>
      <c r="F23" s="6"/>
      <c r="G23" s="6">
        <v>68</v>
      </c>
      <c r="H23" s="6"/>
      <c r="I23" s="19">
        <v>67</v>
      </c>
      <c r="J23" s="6"/>
      <c r="K23" s="17">
        <v>38</v>
      </c>
      <c r="L23" s="19"/>
      <c r="M23" s="19">
        <v>38</v>
      </c>
      <c r="N23" s="6"/>
      <c r="O23" s="6"/>
      <c r="P23" s="6">
        <v>26</v>
      </c>
      <c r="Q23" s="10"/>
      <c r="R23">
        <f t="shared" si="0"/>
        <v>414</v>
      </c>
      <c r="T23">
        <v>416</v>
      </c>
    </row>
    <row r="24" spans="1:20" ht="15.75" x14ac:dyDescent="0.15">
      <c r="A24" s="28"/>
      <c r="B24" s="5">
        <v>0.88888888888888895</v>
      </c>
      <c r="C24" s="6"/>
      <c r="D24" s="15"/>
      <c r="E24" s="6"/>
      <c r="F24" s="6">
        <v>25</v>
      </c>
      <c r="G24" s="6"/>
      <c r="H24" s="6">
        <v>57</v>
      </c>
      <c r="I24" s="6">
        <v>9</v>
      </c>
      <c r="J24" s="6"/>
      <c r="K24" s="17">
        <v>118</v>
      </c>
      <c r="L24" s="6"/>
      <c r="M24" s="6"/>
      <c r="N24" s="6"/>
      <c r="O24" s="6"/>
      <c r="P24" s="6"/>
      <c r="Q24" s="10"/>
      <c r="R24">
        <f t="shared" si="0"/>
        <v>209</v>
      </c>
      <c r="T24">
        <v>417</v>
      </c>
    </row>
    <row r="25" spans="1:20" ht="15.75" x14ac:dyDescent="0.15">
      <c r="A25" s="29"/>
      <c r="B25" s="7">
        <v>0.95833333333333304</v>
      </c>
      <c r="C25" s="8">
        <v>9</v>
      </c>
      <c r="D25" s="8"/>
      <c r="E25" s="8"/>
      <c r="F25" s="8"/>
      <c r="G25" s="8">
        <v>125</v>
      </c>
      <c r="H25" s="8">
        <v>123</v>
      </c>
      <c r="I25" s="8"/>
      <c r="J25" s="8">
        <v>126</v>
      </c>
      <c r="K25" s="8"/>
      <c r="L25" s="8">
        <v>24</v>
      </c>
      <c r="M25" s="8"/>
      <c r="N25" s="8">
        <v>42</v>
      </c>
      <c r="O25" s="8"/>
      <c r="P25" s="8"/>
      <c r="Q25" s="11">
        <v>8</v>
      </c>
      <c r="R25">
        <f t="shared" si="0"/>
        <v>457</v>
      </c>
      <c r="T25">
        <v>428</v>
      </c>
    </row>
    <row r="26" spans="1:20" ht="15.75" x14ac:dyDescent="0.15">
      <c r="A26" s="30" t="s">
        <v>18</v>
      </c>
      <c r="B26" s="3">
        <v>0.375</v>
      </c>
      <c r="C26" s="4"/>
      <c r="D26" s="4"/>
      <c r="E26" s="4">
        <v>31</v>
      </c>
      <c r="F26" s="4">
        <v>54</v>
      </c>
      <c r="G26" s="4"/>
      <c r="H26" s="23">
        <v>47</v>
      </c>
      <c r="I26" s="14">
        <v>106</v>
      </c>
      <c r="J26" s="23">
        <v>93</v>
      </c>
      <c r="K26" s="4"/>
      <c r="L26" s="4">
        <v>34</v>
      </c>
      <c r="M26" s="4">
        <v>8</v>
      </c>
      <c r="N26" s="4"/>
      <c r="O26" s="4">
        <v>37</v>
      </c>
      <c r="P26" s="4"/>
      <c r="Q26" s="9">
        <v>6</v>
      </c>
      <c r="R26">
        <f t="shared" si="0"/>
        <v>416</v>
      </c>
      <c r="T26">
        <v>429</v>
      </c>
    </row>
    <row r="27" spans="1:20" ht="15.75" x14ac:dyDescent="0.15">
      <c r="A27" s="31"/>
      <c r="B27" s="5">
        <v>0.5</v>
      </c>
      <c r="C27" s="6">
        <v>86</v>
      </c>
      <c r="D27" s="6">
        <v>52</v>
      </c>
      <c r="E27" s="6"/>
      <c r="F27" s="6"/>
      <c r="G27" s="6">
        <v>58</v>
      </c>
      <c r="H27" s="17">
        <v>66</v>
      </c>
      <c r="I27" s="15"/>
      <c r="J27" s="17">
        <v>66</v>
      </c>
      <c r="K27" s="6">
        <v>50</v>
      </c>
      <c r="L27" s="6"/>
      <c r="M27" s="6"/>
      <c r="N27" s="6">
        <v>38</v>
      </c>
      <c r="O27" s="6"/>
      <c r="P27" s="6">
        <v>14</v>
      </c>
      <c r="Q27" s="10"/>
      <c r="R27">
        <f t="shared" si="0"/>
        <v>430</v>
      </c>
      <c r="T27">
        <v>430</v>
      </c>
    </row>
    <row r="28" spans="1:20" ht="15.75" x14ac:dyDescent="0.15">
      <c r="A28" s="31"/>
      <c r="B28" s="5">
        <v>0.625</v>
      </c>
      <c r="C28" s="16">
        <v>146</v>
      </c>
      <c r="D28" s="6"/>
      <c r="E28" s="19">
        <v>60</v>
      </c>
      <c r="F28" s="6">
        <v>14</v>
      </c>
      <c r="G28" s="6"/>
      <c r="H28" s="6">
        <v>12</v>
      </c>
      <c r="I28" s="6">
        <v>28</v>
      </c>
      <c r="J28" s="6"/>
      <c r="K28" s="6"/>
      <c r="L28" s="6">
        <v>83</v>
      </c>
      <c r="M28" s="6">
        <v>24</v>
      </c>
      <c r="N28" s="6"/>
      <c r="O28" s="6"/>
      <c r="P28" s="6">
        <v>37</v>
      </c>
      <c r="Q28" s="10">
        <v>2</v>
      </c>
      <c r="R28">
        <f t="shared" si="0"/>
        <v>406</v>
      </c>
      <c r="T28">
        <v>452</v>
      </c>
    </row>
    <row r="29" spans="1:20" ht="15.75" x14ac:dyDescent="0.15">
      <c r="A29" s="31"/>
      <c r="B29" s="5">
        <v>0.75</v>
      </c>
      <c r="C29" s="19"/>
      <c r="D29" s="6"/>
      <c r="E29" s="19">
        <v>125</v>
      </c>
      <c r="F29" s="6"/>
      <c r="G29" s="6">
        <v>55</v>
      </c>
      <c r="H29" s="6">
        <v>52</v>
      </c>
      <c r="I29" s="6"/>
      <c r="J29" s="6"/>
      <c r="K29" s="6"/>
      <c r="L29" s="6">
        <v>6</v>
      </c>
      <c r="M29" s="6"/>
      <c r="N29" s="6">
        <v>29</v>
      </c>
      <c r="O29" s="6">
        <v>37</v>
      </c>
      <c r="P29" s="6">
        <v>67</v>
      </c>
      <c r="Q29" s="10"/>
      <c r="R29">
        <f t="shared" si="0"/>
        <v>371</v>
      </c>
      <c r="T29">
        <v>457</v>
      </c>
    </row>
    <row r="30" spans="1:20" ht="15.75" x14ac:dyDescent="0.15">
      <c r="A30" s="32"/>
      <c r="B30" s="7">
        <v>0.875</v>
      </c>
      <c r="C30" s="8">
        <v>85</v>
      </c>
      <c r="D30" s="8"/>
      <c r="E30" s="8">
        <v>46</v>
      </c>
      <c r="F30" s="8">
        <v>55</v>
      </c>
      <c r="G30" s="8"/>
      <c r="H30" s="8"/>
      <c r="I30" s="8">
        <v>119</v>
      </c>
      <c r="J30" s="8">
        <v>118</v>
      </c>
      <c r="K30" s="8">
        <v>31</v>
      </c>
      <c r="L30" s="8"/>
      <c r="M30" s="8">
        <v>7</v>
      </c>
      <c r="N30" s="8">
        <v>43</v>
      </c>
      <c r="O30" s="8">
        <v>2</v>
      </c>
      <c r="P30" s="8"/>
      <c r="Q30" s="11">
        <v>1</v>
      </c>
      <c r="R30">
        <f t="shared" si="0"/>
        <v>507</v>
      </c>
      <c r="T30">
        <v>460</v>
      </c>
    </row>
    <row r="31" spans="1:20" ht="15.75" x14ac:dyDescent="0.15">
      <c r="A31" s="33" t="s">
        <v>19</v>
      </c>
      <c r="B31" s="3">
        <v>0.375</v>
      </c>
      <c r="C31" s="4">
        <v>78</v>
      </c>
      <c r="D31" s="4">
        <v>72</v>
      </c>
      <c r="E31" s="4"/>
      <c r="F31" s="4"/>
      <c r="G31" s="4">
        <v>43</v>
      </c>
      <c r="H31" s="4"/>
      <c r="I31" s="4"/>
      <c r="J31" s="4"/>
      <c r="K31" s="4">
        <v>32</v>
      </c>
      <c r="L31" s="4"/>
      <c r="M31" s="4"/>
      <c r="N31" s="4"/>
      <c r="O31" s="4"/>
      <c r="P31" s="4">
        <v>34</v>
      </c>
      <c r="Q31" s="9"/>
      <c r="R31">
        <f t="shared" si="0"/>
        <v>259</v>
      </c>
      <c r="T31">
        <v>503</v>
      </c>
    </row>
    <row r="32" spans="1:20" ht="15.75" x14ac:dyDescent="0.15">
      <c r="A32" s="34"/>
      <c r="B32" s="5">
        <v>0.5</v>
      </c>
      <c r="C32" s="6"/>
      <c r="D32" s="6"/>
      <c r="E32" s="6">
        <v>102</v>
      </c>
      <c r="F32" s="6">
        <v>57</v>
      </c>
      <c r="G32" s="6"/>
      <c r="H32" s="6"/>
      <c r="I32" s="6">
        <v>52</v>
      </c>
      <c r="J32" s="6"/>
      <c r="K32" s="6"/>
      <c r="L32" s="6"/>
      <c r="M32" s="6">
        <v>12</v>
      </c>
      <c r="N32" s="6"/>
      <c r="O32" s="6"/>
      <c r="P32" s="6"/>
      <c r="Q32" s="10"/>
      <c r="R32">
        <f t="shared" si="0"/>
        <v>223</v>
      </c>
      <c r="T32">
        <v>507</v>
      </c>
    </row>
    <row r="33" spans="1:20" ht="15.75" x14ac:dyDescent="0.15">
      <c r="A33" s="34"/>
      <c r="B33" s="5">
        <v>0.625</v>
      </c>
      <c r="C33" s="6"/>
      <c r="D33" s="6"/>
      <c r="E33" s="6"/>
      <c r="F33" s="6"/>
      <c r="G33" s="6">
        <v>10</v>
      </c>
      <c r="H33" s="6"/>
      <c r="I33" s="6"/>
      <c r="J33" s="6"/>
      <c r="K33" s="6">
        <v>82</v>
      </c>
      <c r="L33" s="6"/>
      <c r="M33" s="6"/>
      <c r="N33" s="6">
        <v>68</v>
      </c>
      <c r="O33" s="6">
        <v>30</v>
      </c>
      <c r="P33" s="6"/>
      <c r="Q33" s="10"/>
      <c r="R33">
        <f t="shared" si="0"/>
        <v>190</v>
      </c>
      <c r="T33">
        <v>516</v>
      </c>
    </row>
    <row r="34" spans="1:20" ht="15.75" x14ac:dyDescent="0.15">
      <c r="A34" s="34"/>
      <c r="B34" s="5">
        <v>0.75</v>
      </c>
      <c r="C34" s="6"/>
      <c r="D34" s="6">
        <v>103</v>
      </c>
      <c r="E34" s="6"/>
      <c r="F34" s="6"/>
      <c r="G34" s="6"/>
      <c r="H34" s="6"/>
      <c r="I34" s="6">
        <v>25</v>
      </c>
      <c r="J34" s="6"/>
      <c r="K34" s="6">
        <v>3</v>
      </c>
      <c r="L34" s="6"/>
      <c r="M34" s="6">
        <v>11</v>
      </c>
      <c r="N34" s="6"/>
      <c r="O34" s="6"/>
      <c r="P34" s="6"/>
      <c r="Q34" s="10">
        <v>3</v>
      </c>
      <c r="R34">
        <f t="shared" si="0"/>
        <v>145</v>
      </c>
      <c r="T34">
        <v>545</v>
      </c>
    </row>
    <row r="35" spans="1:20" ht="15.75" x14ac:dyDescent="0.15">
      <c r="A35" s="35"/>
      <c r="B35" s="7">
        <v>0.875</v>
      </c>
      <c r="C35" s="8">
        <v>94</v>
      </c>
      <c r="D35" s="8"/>
      <c r="E35" s="8">
        <v>38</v>
      </c>
      <c r="F35" s="8"/>
      <c r="G35" s="8">
        <v>53</v>
      </c>
      <c r="H35" s="8">
        <v>47</v>
      </c>
      <c r="I35" s="8"/>
      <c r="J35" s="8"/>
      <c r="K35" s="8"/>
      <c r="L35" s="8">
        <v>31</v>
      </c>
      <c r="M35" s="8"/>
      <c r="N35" s="8">
        <v>55</v>
      </c>
      <c r="O35" s="8"/>
      <c r="P35" s="8">
        <v>9</v>
      </c>
      <c r="Q35" s="11">
        <v>1</v>
      </c>
      <c r="R35">
        <f t="shared" si="0"/>
        <v>328</v>
      </c>
    </row>
  </sheetData>
  <sortState xmlns:xlrd2="http://schemas.microsoft.com/office/spreadsheetml/2017/richdata2" ref="T1:T35">
    <sortCondition ref="T1:T35"/>
  </sortState>
  <mergeCells count="5">
    <mergeCell ref="A2:A9"/>
    <mergeCell ref="A10:A17"/>
    <mergeCell ref="A18:A25"/>
    <mergeCell ref="A26:A30"/>
    <mergeCell ref="A31:A3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zhengze He</cp:lastModifiedBy>
  <dcterms:created xsi:type="dcterms:W3CDTF">2025-03-11T02:55:43Z</dcterms:created>
  <dcterms:modified xsi:type="dcterms:W3CDTF">2025-04-18T15:33:19Z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0EA4CF84D368445EB915E8E5A4560FE5_13</vt:lpwstr>
  </property>
  <property fmtid="{D5CDD505-2E9C-101B-9397-08002B2CF9AE}" pid="3" name="KSOProductBuildVer">
    <vt:lpwstr>2052-12.1.0.20305</vt:lpwstr>
  </property>
</Properties>
</file>